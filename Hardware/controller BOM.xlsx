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lan/Desktop/yahrzeit/"/>
    </mc:Choice>
  </mc:AlternateContent>
  <bookViews>
    <workbookView xWindow="540" yWindow="460" windowWidth="27940" windowHeight="17520" tabRatio="500"/>
  </bookViews>
  <sheets>
    <sheet name="Sheet1" sheetId="1" r:id="rId1"/>
  </sheets>
  <definedNames>
    <definedName name="Exch_Rate">Sheet1!$D$7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1" l="1"/>
  <c r="E15" i="1"/>
  <c r="E25" i="1"/>
  <c r="E32" i="1"/>
  <c r="E36" i="1"/>
  <c r="E12" i="1"/>
  <c r="E11" i="1"/>
  <c r="E10" i="1"/>
</calcChain>
</file>

<file path=xl/sharedStrings.xml><?xml version="1.0" encoding="utf-8"?>
<sst xmlns="http://schemas.openxmlformats.org/spreadsheetml/2006/main" count="28" uniqueCount="25">
  <si>
    <t>Costed Bill of Materials</t>
  </si>
  <si>
    <t>Yahrzeit Embedded Controller</t>
  </si>
  <si>
    <t>Allan Schwartz</t>
  </si>
  <si>
    <t>Item</t>
  </si>
  <si>
    <t>Arduino Mega</t>
  </si>
  <si>
    <t>Arduino Ethernet</t>
  </si>
  <si>
    <t>Exchange Rt</t>
  </si>
  <si>
    <t>NIS</t>
  </si>
  <si>
    <t>USD</t>
  </si>
  <si>
    <t>Cost ea</t>
  </si>
  <si>
    <t>Mini Shield design consulting</t>
  </si>
  <si>
    <t>Apple Thunderbold Gigabit Ethernet</t>
  </si>
  <si>
    <t>Travel Expenses</t>
  </si>
  <si>
    <t>no charge for airfare or hotel</t>
  </si>
  <si>
    <t>lab supplies: protoboard, pins, wire, solder, 10-pin IDC sockets, ribbon cable</t>
  </si>
  <si>
    <t>Mini Shield FAB, with shipping</t>
  </si>
  <si>
    <t>other expenses, included meals, gas</t>
  </si>
  <si>
    <t>power supply</t>
  </si>
  <si>
    <t>enclosure</t>
  </si>
  <si>
    <t>Material Costs for Embedded Controller</t>
  </si>
  <si>
    <t>subtotal</t>
  </si>
  <si>
    <t>total invoice</t>
  </si>
  <si>
    <t>Other project costs:</t>
  </si>
  <si>
    <t>Consulting Fee, July 27, 2015</t>
  </si>
  <si>
    <t>Car Rental prorated 1/10 of 462.12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</si>
</sst>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[$₪-40D]\ #,##0.00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u/>
      <sz val="12"/>
      <color theme="1"/>
      <name val="Calibri"/>
      <family val="2"/>
      <scheme val="minor"/>
    </font>
    <font>
      <i/>
      <u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165" fontId="0" fillId="0" borderId="0" xfId="0" applyNumberFormat="1"/>
    <xf numFmtId="165" fontId="7" fillId="0" borderId="0" xfId="0" applyNumberFormat="1" applyFont="1"/>
    <xf numFmtId="165" fontId="5" fillId="0" borderId="0" xfId="0" applyNumberFormat="1" applyFont="1"/>
    <xf numFmtId="164" fontId="7" fillId="0" borderId="0" xfId="0" applyNumberFormat="1" applyFon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A29" sqref="A29"/>
    </sheetView>
  </sheetViews>
  <sheetFormatPr baseColWidth="10" defaultRowHeight="16" x14ac:dyDescent="0.2"/>
  <cols>
    <col min="1" max="1" width="32.5" customWidth="1"/>
    <col min="3" max="3" width="11.1640625" style="7" bestFit="1" customWidth="1"/>
    <col min="5" max="5" width="10.83203125" style="2"/>
  </cols>
  <sheetData>
    <row r="1" spans="1:6" x14ac:dyDescent="0.2">
      <c r="A1" t="s">
        <v>0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s="1">
        <v>42217</v>
      </c>
    </row>
    <row r="6" spans="1:6" x14ac:dyDescent="0.2">
      <c r="A6" t="s">
        <v>3</v>
      </c>
      <c r="C6" s="15" t="s">
        <v>9</v>
      </c>
      <c r="D6" s="14" t="s">
        <v>6</v>
      </c>
      <c r="E6" s="16" t="s">
        <v>9</v>
      </c>
    </row>
    <row r="7" spans="1:6" x14ac:dyDescent="0.2">
      <c r="C7" s="15" t="s">
        <v>7</v>
      </c>
      <c r="D7" s="14">
        <v>3.85</v>
      </c>
      <c r="E7" s="16" t="s">
        <v>8</v>
      </c>
    </row>
    <row r="9" spans="1:6" s="5" customFormat="1" x14ac:dyDescent="0.2">
      <c r="A9" s="5" t="s">
        <v>19</v>
      </c>
      <c r="C9" s="8"/>
      <c r="E9" s="10"/>
    </row>
    <row r="10" spans="1:6" x14ac:dyDescent="0.2">
      <c r="A10" t="s">
        <v>4</v>
      </c>
      <c r="C10" s="7">
        <v>269</v>
      </c>
      <c r="E10" s="2">
        <f>C10/Exch_Rate</f>
        <v>69.870129870129873</v>
      </c>
      <c r="F10" s="2"/>
    </row>
    <row r="11" spans="1:6" x14ac:dyDescent="0.2">
      <c r="A11" t="s">
        <v>5</v>
      </c>
      <c r="C11" s="7">
        <v>229</v>
      </c>
      <c r="E11" s="2">
        <f>C11/Exch_Rate</f>
        <v>59.480519480519476</v>
      </c>
      <c r="F11" s="2"/>
    </row>
    <row r="12" spans="1:6" x14ac:dyDescent="0.2">
      <c r="A12" t="s">
        <v>18</v>
      </c>
      <c r="C12" s="7">
        <v>118</v>
      </c>
      <c r="E12" s="2">
        <f>C12/Exch_Rate</f>
        <v>30.649350649350648</v>
      </c>
      <c r="F12" s="2"/>
    </row>
    <row r="13" spans="1:6" x14ac:dyDescent="0.2">
      <c r="A13" t="s">
        <v>17</v>
      </c>
      <c r="E13" s="2">
        <v>10</v>
      </c>
      <c r="F13" s="2"/>
    </row>
    <row r="14" spans="1:6" x14ac:dyDescent="0.2">
      <c r="F14" s="2"/>
    </row>
    <row r="15" spans="1:6" s="3" customFormat="1" x14ac:dyDescent="0.2">
      <c r="A15" s="3" t="s">
        <v>20</v>
      </c>
      <c r="C15" s="9">
        <f>SUM(C10:C13)</f>
        <v>616</v>
      </c>
      <c r="E15" s="6">
        <f>C15/Exch_Rate</f>
        <v>160</v>
      </c>
      <c r="F15" s="6"/>
    </row>
    <row r="18" spans="1:5" x14ac:dyDescent="0.2">
      <c r="A18" s="4" t="s">
        <v>22</v>
      </c>
    </row>
    <row r="19" spans="1:5" x14ac:dyDescent="0.2">
      <c r="A19" t="s">
        <v>14</v>
      </c>
    </row>
    <row r="20" spans="1:5" x14ac:dyDescent="0.2">
      <c r="E20" s="2">
        <v>20</v>
      </c>
    </row>
    <row r="21" spans="1:5" x14ac:dyDescent="0.2">
      <c r="A21" t="s">
        <v>15</v>
      </c>
      <c r="E21" s="2">
        <v>41</v>
      </c>
    </row>
    <row r="22" spans="1:5" x14ac:dyDescent="0.2">
      <c r="A22" t="s">
        <v>10</v>
      </c>
      <c r="E22" s="2">
        <v>32.880000000000003</v>
      </c>
    </row>
    <row r="23" spans="1:5" x14ac:dyDescent="0.2">
      <c r="A23" t="s">
        <v>11</v>
      </c>
      <c r="E23" s="2">
        <v>31.54</v>
      </c>
    </row>
    <row r="25" spans="1:5" s="3" customFormat="1" x14ac:dyDescent="0.2">
      <c r="A25" s="3" t="s">
        <v>20</v>
      </c>
      <c r="C25" s="9"/>
      <c r="E25" s="6">
        <f>SUM(E20:E23)</f>
        <v>125.41999999999999</v>
      </c>
    </row>
    <row r="27" spans="1:5" x14ac:dyDescent="0.2">
      <c r="A27" s="5" t="s">
        <v>12</v>
      </c>
    </row>
    <row r="28" spans="1:5" x14ac:dyDescent="0.2">
      <c r="A28" t="s">
        <v>13</v>
      </c>
      <c r="E28" s="2">
        <v>0</v>
      </c>
    </row>
    <row r="29" spans="1:5" x14ac:dyDescent="0.2">
      <c r="A29" t="s">
        <v>24</v>
      </c>
      <c r="E29" s="2">
        <v>46.12</v>
      </c>
    </row>
    <row r="30" spans="1:5" x14ac:dyDescent="0.2">
      <c r="A30" t="s">
        <v>16</v>
      </c>
      <c r="E30" s="2">
        <v>68</v>
      </c>
    </row>
    <row r="32" spans="1:5" s="3" customFormat="1" x14ac:dyDescent="0.2">
      <c r="A32" s="3" t="s">
        <v>20</v>
      </c>
      <c r="C32" s="9"/>
      <c r="E32" s="6">
        <f>SUM(E28:E30)</f>
        <v>114.12</v>
      </c>
    </row>
    <row r="34" spans="1:5" x14ac:dyDescent="0.2">
      <c r="A34" t="s">
        <v>23</v>
      </c>
      <c r="E34" s="2">
        <v>500</v>
      </c>
    </row>
    <row r="36" spans="1:5" s="11" customFormat="1" x14ac:dyDescent="0.2">
      <c r="A36" s="11" t="s">
        <v>21</v>
      </c>
      <c r="C36" s="12"/>
      <c r="E36" s="13">
        <f>E15+E25+E32+E34</f>
        <v>899.54</v>
      </c>
    </row>
  </sheetData>
  <phoneticPr fontId="3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Schwartz</dc:creator>
  <cp:lastModifiedBy>Microsoft Office User</cp:lastModifiedBy>
  <cp:lastPrinted>2015-09-15T10:22:30Z</cp:lastPrinted>
  <dcterms:created xsi:type="dcterms:W3CDTF">2015-07-03T06:29:12Z</dcterms:created>
  <dcterms:modified xsi:type="dcterms:W3CDTF">2015-09-15T10:22:32Z</dcterms:modified>
</cp:coreProperties>
</file>