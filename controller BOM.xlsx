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540" yWindow="-20" windowWidth="27940" windowHeight="17520" tabRatio="500"/>
  </bookViews>
  <sheets>
    <sheet name="Sheet1" sheetId="1" r:id="rId1"/>
  </sheets>
  <definedNames>
    <definedName name="Exch_Rate">Sheet1!$E$7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9" i="1" l="1"/>
  <c r="C11" i="1"/>
  <c r="C19" i="1"/>
  <c r="D19" i="1"/>
  <c r="D17" i="1"/>
  <c r="D16" i="1"/>
  <c r="D15" i="1"/>
  <c r="D14" i="1"/>
  <c r="D13" i="1"/>
  <c r="D12" i="1"/>
  <c r="D11" i="1"/>
  <c r="D10" i="1"/>
  <c r="D9" i="1"/>
</calcChain>
</file>

<file path=xl/sharedStrings.xml><?xml version="1.0" encoding="utf-8"?>
<sst xmlns="http://schemas.openxmlformats.org/spreadsheetml/2006/main" count="22" uniqueCount="19">
  <si>
    <t>Costed Bill of Materials</t>
  </si>
  <si>
    <t>Yahrzeit Embedded Controller</t>
  </si>
  <si>
    <t>Allan Schwartz</t>
  </si>
  <si>
    <t>Item</t>
  </si>
  <si>
    <t>Arduino Mega</t>
  </si>
  <si>
    <t>Arduino Ethernet</t>
  </si>
  <si>
    <t>Proto Board</t>
  </si>
  <si>
    <t>pins</t>
  </si>
  <si>
    <t>IDC socket</t>
  </si>
  <si>
    <t>Project Box</t>
  </si>
  <si>
    <t>Exchange Rt</t>
  </si>
  <si>
    <t>cable connectors pair</t>
  </si>
  <si>
    <t>ribbon cable</t>
  </si>
  <si>
    <t>wire &amp; solder</t>
  </si>
  <si>
    <t>NIS</t>
  </si>
  <si>
    <t>USD</t>
  </si>
  <si>
    <t>Cost ea</t>
  </si>
  <si>
    <t>cost, Lot</t>
  </si>
  <si>
    <t xml:space="preserve">Amazon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</si>
</sst>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M29" sqref="M29"/>
    </sheetView>
  </sheetViews>
  <sheetFormatPr baseColWidth="10" defaultRowHeight="15" x14ac:dyDescent="0"/>
  <cols>
    <col min="1" max="1" width="21" customWidth="1"/>
  </cols>
  <sheetData>
    <row r="1" spans="1:6">
      <c r="A1" t="s">
        <v>0</v>
      </c>
    </row>
    <row r="2" spans="1:6">
      <c r="A2" t="s">
        <v>1</v>
      </c>
    </row>
    <row r="3" spans="1:6">
      <c r="A3" t="s">
        <v>2</v>
      </c>
      <c r="C3" s="1">
        <v>42188</v>
      </c>
    </row>
    <row r="6" spans="1:6">
      <c r="A6" t="s">
        <v>3</v>
      </c>
      <c r="B6" t="s">
        <v>17</v>
      </c>
      <c r="C6" t="s">
        <v>16</v>
      </c>
      <c r="D6" t="s">
        <v>16</v>
      </c>
      <c r="E6" t="s">
        <v>10</v>
      </c>
      <c r="F6" t="s">
        <v>18</v>
      </c>
    </row>
    <row r="7" spans="1:6">
      <c r="B7" t="s">
        <v>14</v>
      </c>
      <c r="C7" t="s">
        <v>14</v>
      </c>
      <c r="D7" t="s">
        <v>15</v>
      </c>
      <c r="E7">
        <v>3.85</v>
      </c>
      <c r="F7" t="s">
        <v>15</v>
      </c>
    </row>
    <row r="9" spans="1:6">
      <c r="A9" t="s">
        <v>4</v>
      </c>
      <c r="C9">
        <v>269</v>
      </c>
      <c r="D9" s="2">
        <f>C9/Exch_Rate</f>
        <v>69.870129870129873</v>
      </c>
      <c r="F9" s="2">
        <v>20</v>
      </c>
    </row>
    <row r="10" spans="1:6">
      <c r="A10" t="s">
        <v>5</v>
      </c>
      <c r="C10">
        <v>269</v>
      </c>
      <c r="D10" s="2">
        <f>C10/Exch_Rate</f>
        <v>69.870129870129873</v>
      </c>
      <c r="F10" s="2">
        <v>10</v>
      </c>
    </row>
    <row r="11" spans="1:6">
      <c r="A11" t="s">
        <v>6</v>
      </c>
      <c r="B11">
        <v>99</v>
      </c>
      <c r="C11">
        <f>B11/3</f>
        <v>33</v>
      </c>
      <c r="D11" s="2">
        <f>C11/Exch_Rate</f>
        <v>8.5714285714285712</v>
      </c>
      <c r="F11" s="2">
        <v>2</v>
      </c>
    </row>
    <row r="12" spans="1:6">
      <c r="A12" t="s">
        <v>9</v>
      </c>
      <c r="C12">
        <v>118</v>
      </c>
      <c r="D12" s="2">
        <f>C12/Exch_Rate</f>
        <v>30.649350649350648</v>
      </c>
      <c r="F12" s="2">
        <v>10</v>
      </c>
    </row>
    <row r="13" spans="1:6">
      <c r="A13" t="s">
        <v>7</v>
      </c>
      <c r="B13">
        <v>15</v>
      </c>
      <c r="C13">
        <v>5</v>
      </c>
      <c r="D13" s="2">
        <f>C13/Exch_Rate</f>
        <v>1.2987012987012987</v>
      </c>
      <c r="F13" s="2">
        <v>1</v>
      </c>
    </row>
    <row r="14" spans="1:6">
      <c r="A14" t="s">
        <v>8</v>
      </c>
      <c r="B14">
        <v>15</v>
      </c>
      <c r="C14">
        <v>5</v>
      </c>
      <c r="D14" s="2">
        <f>C14/Exch_Rate</f>
        <v>1.2987012987012987</v>
      </c>
      <c r="F14" s="2">
        <v>1</v>
      </c>
    </row>
    <row r="15" spans="1:6">
      <c r="A15" t="s">
        <v>12</v>
      </c>
      <c r="B15">
        <v>15</v>
      </c>
      <c r="C15">
        <v>5</v>
      </c>
      <c r="D15" s="2">
        <f>C15/Exch_Rate</f>
        <v>1.2987012987012987</v>
      </c>
      <c r="F15" s="2">
        <v>1</v>
      </c>
    </row>
    <row r="16" spans="1:6">
      <c r="A16" t="s">
        <v>13</v>
      </c>
      <c r="B16">
        <v>30</v>
      </c>
      <c r="C16">
        <v>10</v>
      </c>
      <c r="D16" s="2">
        <f>C16/Exch_Rate</f>
        <v>2.5974025974025974</v>
      </c>
      <c r="F16" s="2"/>
    </row>
    <row r="17" spans="1:6">
      <c r="A17" t="s">
        <v>11</v>
      </c>
      <c r="B17">
        <v>15</v>
      </c>
      <c r="C17">
        <v>5</v>
      </c>
      <c r="D17" s="2">
        <f>C17/Exch_Rate</f>
        <v>1.2987012987012987</v>
      </c>
      <c r="F17" s="2">
        <v>1</v>
      </c>
    </row>
    <row r="18" spans="1:6">
      <c r="D18" s="2"/>
      <c r="F18" s="2"/>
    </row>
    <row r="19" spans="1:6">
      <c r="C19">
        <f>SUM(C9:C17)</f>
        <v>719</v>
      </c>
      <c r="D19" s="2">
        <f>C19/Exch_Rate</f>
        <v>186.75324675324674</v>
      </c>
      <c r="F19" s="2">
        <f>SUM(F9:F17)</f>
        <v>46</v>
      </c>
    </row>
  </sheetData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Schwartz</dc:creator>
  <cp:lastModifiedBy>Allan Schwartz</cp:lastModifiedBy>
  <cp:lastPrinted>2015-07-03T07:29:49Z</cp:lastPrinted>
  <dcterms:created xsi:type="dcterms:W3CDTF">2015-07-03T06:29:12Z</dcterms:created>
  <dcterms:modified xsi:type="dcterms:W3CDTF">2015-07-03T07:30:34Z</dcterms:modified>
</cp:coreProperties>
</file>